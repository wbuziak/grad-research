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sec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<sst xmlns="http://schemas.openxmlformats.org/spreadsheetml/2006/main" count="253" uniqueCount="79">
  <si>
    <t>Statistic</t>
  </si>
  <si>
    <t>simFrequency(tick/s)</t>
  </si>
  <si>
    <t>board.cache_hierarchy.l2cache.overallHits::total,    3921013</t>
  </si>
  <si>
    <t>board.cache_hierarchy.l2cache.overallMisses::total,    43578803</t>
  </si>
  <si>
    <t>ISA</t>
  </si>
  <si>
    <t>X86</t>
  </si>
  <si>
    <t>board.cache_hierarchy.l2cache.overallAccesses::total,  47499816</t>
  </si>
  <si>
    <t>Benchmark</t>
  </si>
  <si>
    <t>Blackscholes</t>
  </si>
  <si>
    <t>Fluidanimate</t>
  </si>
  <si>
    <t>Bodytrack</t>
  </si>
  <si>
    <t>Canneal</t>
  </si>
  <si>
    <t>board.memory.metadata_cache.overallHits::total,  195741667</t>
  </si>
  <si>
    <t>metadata Cache Size</t>
  </si>
  <si>
    <t>64KiB</t>
  </si>
  <si>
    <t>board.memory.metadata_cache.overallMisses::total,  157757784</t>
  </si>
  <si>
    <t>memory policy</t>
  </si>
  <si>
    <t>No Security</t>
  </si>
  <si>
    <t>Integrity tree</t>
  </si>
  <si>
    <t>MCX - never</t>
  </si>
  <si>
    <t>Integrity Tree</t>
  </si>
  <si>
    <t>board.memory.metadata_cache.overallAccesses::total,  353499451</t>
  </si>
  <si>
    <t>simSize</t>
  </si>
  <si>
    <t>simlarge</t>
  </si>
  <si>
    <t>board.memory.secure_memory.metadata_requests,  353499451</t>
  </si>
  <si>
    <t>L3 size</t>
  </si>
  <si>
    <t>none</t>
  </si>
  <si>
    <t>256KiB</t>
  </si>
  <si>
    <t>board.memory.secure_memory.metadata_misses,  139990427</t>
  </si>
  <si>
    <t>Encryption</t>
  </si>
  <si>
    <t>no</t>
  </si>
  <si>
    <t>yes</t>
  </si>
  <si>
    <t>board.memory.secure_memory.l3.overallHits::total,  1567358</t>
  </si>
  <si>
    <t>Hashing</t>
  </si>
  <si>
    <t>board.memory.secure_memory.l3.overallAccesses::total,  43658220</t>
  </si>
  <si>
    <t>board.memory.secure_memory.l3.overallMissRate::total,  0.964099</t>
  </si>
  <si>
    <t>numCycles (x4)</t>
  </si>
  <si>
    <t>board.processor.switch0.core.numCycles,     6944399983</t>
  </si>
  <si>
    <t>ipc</t>
  </si>
  <si>
    <t>board.processor.switch0.core.ipc,  0.064671</t>
  </si>
  <si>
    <t>Commit Inst (x4)</t>
  </si>
  <si>
    <t>board.processor.switch0.core.commitStats0.numInsts,  449102055</t>
  </si>
  <si>
    <t>board.processor.switch1.core.numCycles,     6874735947</t>
  </si>
  <si>
    <t>Metadata Cache</t>
  </si>
  <si>
    <t>board.processor.switch1.core.ipc,  0.065125</t>
  </si>
  <si>
    <t>board.memory.metadata_cache.overallHits::total</t>
  </si>
  <si>
    <t>board.processor.switch1.core.commitStats0.numInsts,  447714970</t>
  </si>
  <si>
    <t>board.memory.secure_memory.metadata_misses</t>
  </si>
  <si>
    <t>board.processor.switch2.core.numCycles,     6926173304</t>
  </si>
  <si>
    <t>board.memory.secure_memory.metadata_requests</t>
  </si>
  <si>
    <t>board.processor.switch2.core.ipc,  0.064631</t>
  </si>
  <si>
    <t>board.memory.secure_memory.metadata_missRate</t>
  </si>
  <si>
    <t>board.processor.switch2.core.commitStats0.numInsts,  447643036</t>
  </si>
  <si>
    <t>hitRate</t>
  </si>
  <si>
    <t>board.processor.switch3.core.numCycles,     6907267262</t>
  </si>
  <si>
    <t>L2</t>
  </si>
  <si>
    <t>board.processor.switch3.core.ipc,  0.064786</t>
  </si>
  <si>
    <t>board.cache_hierarchy.l2-cache-0.overallHits::total</t>
  </si>
  <si>
    <t>board.processor.switch3.core.commitStats0.numInsts,  447494116</t>
  </si>
  <si>
    <t>board.cache_hierarchy.l2cache.overallMisses::total</t>
  </si>
  <si>
    <t>board.cache_hierarchy.l2-cache-0.overallAccesses::total</t>
  </si>
  <si>
    <t>board.cache_hierarchy.l2cache.overallMissRate::total</t>
  </si>
  <si>
    <t>NumCycles</t>
  </si>
  <si>
    <t>MCX - Never</t>
  </si>
  <si>
    <t>Commit Instructions</t>
  </si>
  <si>
    <t>numCycles</t>
  </si>
  <si>
    <t>IPC</t>
  </si>
  <si>
    <t>Commit-Instructions</t>
  </si>
  <si>
    <t>L1I-Accesses</t>
  </si>
  <si>
    <t>L1I-Hits</t>
  </si>
  <si>
    <t>L1I-Misses</t>
  </si>
  <si>
    <t>L1D-Accesses</t>
  </si>
  <si>
    <t>L1D-Hits</t>
  </si>
  <si>
    <t>L1D-Misses</t>
  </si>
  <si>
    <t>L2-Accesses</t>
  </si>
  <si>
    <t>L2-Hits</t>
  </si>
  <si>
    <t>L2-Misses</t>
  </si>
  <si>
    <t>Configurable</t>
  </si>
  <si>
    <t>64KB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</si>
</sst>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NumCycles</a:t>
            </a:r>
          </a:p>
        </c:rich>
      </c:tx>
      <c:overlay val="0"/>
    </c:title>
    <c:plotArea>
      <c:layout>
        <c:manualLayout>
          <c:xMode val="edge"/>
          <c:yMode val="edge"/>
          <c:x val="0.13536111005147294"/>
          <c:y val="0.15341419586702604"/>
          <c:w val="0.6621388899485271"/>
          <c:h val="0.699550763701707"/>
        </c:manualLayout>
      </c:layout>
      <c:barChart>
        <c:barDir val="col"/>
        <c:ser>
          <c:idx val="0"/>
          <c:order val="0"/>
          <c:tx>
            <c:v>No Security</c:v>
          </c:tx>
          <c:spPr>
            <a:solidFill>
              <a:schemeClr val="accent1"/>
            </a:solidFill>
            <a:ln cmpd="sng" w="19050">
              <a:solidFill>
                <a:srgbClr val="000000"/>
              </a:solidFill>
            </a:ln>
          </c:spPr>
          <c:dPt>
            <c:idx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parsec!$B$12</c:f>
              <c:numCache/>
            </c:numRef>
          </c:val>
        </c:ser>
        <c:ser>
          <c:idx val="1"/>
          <c:order val="1"/>
          <c:tx>
            <c:v>Integrity Tree</c:v>
          </c:tx>
          <c:spPr>
            <a:solidFill>
              <a:schemeClr val="accent2"/>
            </a:solidFill>
            <a:ln cmpd="sng" w="19050">
              <a:solidFill>
                <a:srgbClr val="000000"/>
              </a:solidFill>
            </a:ln>
          </c:spPr>
          <c:val>
            <c:numRef>
              <c:f>parsec!$C$12</c:f>
              <c:numCache/>
            </c:numRef>
          </c:val>
        </c:ser>
        <c:ser>
          <c:idx val="2"/>
          <c:order val="2"/>
          <c:tx>
            <c:v>MCX - Never</c:v>
          </c:tx>
          <c:spPr>
            <a:solidFill>
              <a:schemeClr val="accent3"/>
            </a:solidFill>
            <a:ln cmpd="sng" w="19050">
              <a:solidFill>
                <a:srgbClr val="000000"/>
              </a:solidFill>
            </a:ln>
          </c:spPr>
          <c:dPt>
            <c:idx val="0"/>
          </c:dPt>
          <c:val>
            <c:numRef>
              <c:f>parsec!$B$4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 w="19050">
              <a:solidFill>
                <a:srgbClr val="000000"/>
              </a:solidFill>
            </a:ln>
          </c:spPr>
          <c:val>
            <c:numRef>
              <c:f>parsec!$D$12</c:f>
              <c:numCache/>
            </c:numRef>
          </c:val>
        </c:ser>
        <c:ser>
          <c:idx val="4"/>
          <c:order val="4"/>
          <c:spPr>
            <a:solidFill>
              <a:schemeClr val="accent2"/>
            </a:solidFill>
            <a:ln cmpd="sng" w="19050">
              <a:solidFill>
                <a:srgbClr val="000000"/>
              </a:solidFill>
            </a:ln>
          </c:spPr>
          <c:val>
            <c:numRef>
              <c:f>parsec!$E$12</c:f>
              <c:numCache/>
            </c:numRef>
          </c:val>
        </c:ser>
        <c:ser>
          <c:idx val="5"/>
          <c:order val="5"/>
          <c:spPr>
            <a:solidFill>
              <a:schemeClr val="accent3"/>
            </a:solidFill>
            <a:ln cmpd="sng" w="19050">
              <a:solidFill>
                <a:srgbClr val="000000"/>
              </a:solidFill>
            </a:ln>
          </c:spPr>
          <c:dPt>
            <c:idx val="0"/>
          </c:dPt>
          <c:val>
            <c:numRef>
              <c:f>parsec!$F$12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 w="19050">
              <a:solidFill>
                <a:srgbClr val="000000"/>
              </a:solidFill>
            </a:ln>
          </c:spPr>
          <c:dPt>
            <c:idx val="0"/>
          </c:dPt>
          <c:val>
            <c:numRef>
              <c:f>parsec!$E$4</c:f>
              <c:numCache/>
            </c:numRef>
          </c:val>
        </c:ser>
        <c:ser>
          <c:idx val="7"/>
          <c:order val="7"/>
          <c:spPr>
            <a:solidFill>
              <a:schemeClr val="accent2"/>
            </a:solidFill>
            <a:ln cmpd="sng" w="19050">
              <a:solidFill>
                <a:srgbClr val="000000"/>
              </a:solidFill>
            </a:ln>
          </c:spPr>
          <c:val>
            <c:numRef>
              <c:f>parsec!$G$12</c:f>
              <c:numCache/>
            </c:numRef>
          </c:val>
        </c:ser>
        <c:ser>
          <c:idx val="8"/>
          <c:order val="8"/>
          <c:spPr>
            <a:solidFill>
              <a:schemeClr val="accent3"/>
            </a:solidFill>
            <a:ln cmpd="sng" w="19050">
              <a:solidFill>
                <a:srgbClr val="000000"/>
              </a:solidFill>
            </a:ln>
          </c:spPr>
          <c:val>
            <c:numRef>
              <c:f>parsec!$H$12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 w="19050">
              <a:solidFill>
                <a:srgbClr val="000000"/>
              </a:solidFill>
            </a:ln>
          </c:spPr>
          <c:val>
            <c:numRef>
              <c:f>parsec!$I$12</c:f>
              <c:numCache/>
            </c:numRef>
          </c:val>
        </c:ser>
        <c:ser>
          <c:idx val="10"/>
          <c:order val="10"/>
          <c:spPr>
            <a:solidFill>
              <a:schemeClr val="accent2"/>
            </a:solidFill>
            <a:ln cmpd="sng" w="19050">
              <a:solidFill>
                <a:srgbClr val="000000"/>
              </a:solidFill>
            </a:ln>
          </c:spPr>
          <c:val>
            <c:numRef>
              <c:f>parsec!$H$4</c:f>
              <c:numCache/>
            </c:numRef>
          </c:val>
        </c:ser>
        <c:ser>
          <c:idx val="11"/>
          <c:order val="11"/>
          <c:spPr>
            <a:solidFill>
              <a:schemeClr val="accent3"/>
            </a:solidFill>
            <a:ln cmpd="sng" w="19050">
              <a:solidFill>
                <a:srgbClr val="000000"/>
              </a:solidFill>
            </a:ln>
          </c:spPr>
          <c:dPt>
            <c:idx val="0"/>
          </c:dPt>
          <c:val>
            <c:numRef>
              <c:f>parsec!$J$12</c:f>
              <c:numCache/>
            </c:numRef>
          </c:val>
        </c:ser>
        <c:ser>
          <c:idx val="12"/>
          <c:order val="12"/>
          <c:val>
            <c:numRef>
              <c:f>parsec!$K$12</c:f>
              <c:numCache/>
            </c:numRef>
          </c:val>
        </c:ser>
        <c:ser>
          <c:idx val="13"/>
          <c:order val="13"/>
          <c:val>
            <c:numRef>
              <c:f>parsec!$L$12</c:f>
              <c:numCache/>
            </c:numRef>
          </c:val>
        </c:ser>
        <c:ser>
          <c:idx val="14"/>
          <c:order val="14"/>
          <c:val>
            <c:numRef>
              <c:f>parsec!$K$4</c:f>
              <c:numCache/>
            </c:numRef>
          </c:val>
        </c:ser>
        <c:ser>
          <c:idx val="15"/>
          <c:order val="15"/>
          <c:val>
            <c:numRef>
              <c:f>parsec!$M$12</c:f>
              <c:numCache/>
            </c:numRef>
          </c:val>
        </c:ser>
        <c:axId val="182625247"/>
        <c:axId val="1201994105"/>
      </c:barChart>
      <c:catAx>
        <c:axId val="182625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994105"/>
      </c:catAx>
      <c:valAx>
        <c:axId val="1201994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NumCycles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252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Commit Instructions</a:t>
            </a:r>
          </a:p>
        </c:rich>
      </c:tx>
      <c:overlay val="0"/>
    </c:title>
    <c:plotArea>
      <c:layout>
        <c:manualLayout>
          <c:xMode val="edge"/>
          <c:yMode val="edge"/>
          <c:x val="0.13536111005147294"/>
          <c:y val="0.25202156334231807"/>
          <c:w val="0.6289379611380328"/>
          <c:h val="0.6009433962264149"/>
        </c:manualLayout>
      </c:layout>
      <c:barChart>
        <c:barDir val="col"/>
        <c:ser>
          <c:idx val="0"/>
          <c:order val="0"/>
          <c:tx>
            <c:v>No Security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parsec!$B$14:$B$15</c:f>
              <c:numCache/>
            </c:numRef>
          </c:val>
        </c:ser>
        <c:ser>
          <c:idx val="1"/>
          <c:order val="1"/>
          <c:tx>
            <c:v>Integrity Tree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parsec!$C$14:$C$15</c:f>
              <c:numCache/>
            </c:numRef>
          </c:val>
        </c:ser>
        <c:ser>
          <c:idx val="2"/>
          <c:order val="2"/>
          <c:tx>
            <c:v>MCX - Never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parsec!$C$4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parsec!$D$14:$D$15</c:f>
              <c:numCache/>
            </c:numRef>
          </c:val>
        </c:ser>
        <c:ser>
          <c:idx val="4"/>
          <c:order val="4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parsec!$E$14:$E$15</c:f>
              <c:numCache/>
            </c:numRef>
          </c:val>
        </c:ser>
        <c:ser>
          <c:idx val="5"/>
          <c:order val="5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parsec!$F$14:$F$15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parsec!$F$4</c:f>
              <c:numCache/>
            </c:numRef>
          </c:val>
        </c:ser>
        <c:ser>
          <c:idx val="7"/>
          <c:order val="7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parsec!$G$14:$G$15</c:f>
              <c:numCache/>
            </c:numRef>
          </c:val>
        </c:ser>
        <c:ser>
          <c:idx val="8"/>
          <c:order val="8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parsec!$H$14:$H$15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parsec!$I$14:$I$15</c:f>
              <c:numCache/>
            </c:numRef>
          </c:val>
        </c:ser>
        <c:ser>
          <c:idx val="10"/>
          <c:order val="1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parsec!$I$4</c:f>
              <c:numCache/>
            </c:numRef>
          </c:val>
        </c:ser>
        <c:ser>
          <c:idx val="11"/>
          <c:order val="11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parsec!$J$14:$J$15</c:f>
              <c:numCache/>
            </c:numRef>
          </c:val>
        </c:ser>
        <c:ser>
          <c:idx val="12"/>
          <c:order val="12"/>
          <c:val>
            <c:numRef>
              <c:f>parsec!$K$14:$K$15</c:f>
              <c:numCache/>
            </c:numRef>
          </c:val>
        </c:ser>
        <c:ser>
          <c:idx val="13"/>
          <c:order val="13"/>
          <c:val>
            <c:numRef>
              <c:f>parsec!$L$14:$L$15</c:f>
              <c:numCache/>
            </c:numRef>
          </c:val>
        </c:ser>
        <c:ser>
          <c:idx val="14"/>
          <c:order val="14"/>
          <c:val>
            <c:numRef>
              <c:f>parsec!$L$4</c:f>
              <c:numCache/>
            </c:numRef>
          </c:val>
        </c:ser>
        <c:ser>
          <c:idx val="15"/>
          <c:order val="15"/>
          <c:val>
            <c:numRef>
              <c:f>parsec!$M$14:$M$15</c:f>
              <c:numCache/>
            </c:numRef>
          </c:val>
        </c:ser>
        <c:axId val="1133745732"/>
        <c:axId val="1775125415"/>
      </c:barChart>
      <c:catAx>
        <c:axId val="1133745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125415"/>
      </c:catAx>
      <c:valAx>
        <c:axId val="1775125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Commit Instructions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745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L2 Accesses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No Security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parsec!$B$26</c:f>
              <c:numCache/>
            </c:numRef>
          </c:val>
        </c:ser>
        <c:ser>
          <c:idx val="1"/>
          <c:order val="1"/>
          <c:tx>
            <c:v>Integrity Tree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parsec!$C$26</c:f>
              <c:numCache/>
            </c:numRef>
          </c:val>
        </c:ser>
        <c:ser>
          <c:idx val="2"/>
          <c:order val="2"/>
          <c:tx>
            <c:v>MCX - Never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parsec!$C$4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parsec!$D$26</c:f>
              <c:numCache/>
            </c:numRef>
          </c:val>
        </c:ser>
        <c:ser>
          <c:idx val="4"/>
          <c:order val="4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parsec!$E$26</c:f>
              <c:numCache/>
            </c:numRef>
          </c:val>
        </c:ser>
        <c:ser>
          <c:idx val="5"/>
          <c:order val="5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parsec!$F$26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parsec!$F$4</c:f>
              <c:numCache/>
            </c:numRef>
          </c:val>
        </c:ser>
        <c:ser>
          <c:idx val="7"/>
          <c:order val="7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parsec!$G$26</c:f>
              <c:numCache/>
            </c:numRef>
          </c:val>
        </c:ser>
        <c:ser>
          <c:idx val="8"/>
          <c:order val="8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parsec!$H$26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parsec!$I$26</c:f>
              <c:numCache/>
            </c:numRef>
          </c:val>
        </c:ser>
        <c:ser>
          <c:idx val="10"/>
          <c:order val="1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parsec!$I$4</c:f>
              <c:numCache/>
            </c:numRef>
          </c:val>
        </c:ser>
        <c:ser>
          <c:idx val="11"/>
          <c:order val="11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parsec!$J$26</c:f>
              <c:numCache/>
            </c:numRef>
          </c:val>
        </c:ser>
        <c:ser>
          <c:idx val="12"/>
          <c:order val="12"/>
          <c:val>
            <c:numRef>
              <c:f>parsec!$K$26</c:f>
              <c:numCache/>
            </c:numRef>
          </c:val>
        </c:ser>
        <c:ser>
          <c:idx val="13"/>
          <c:order val="13"/>
          <c:val>
            <c:numRef>
              <c:f>parsec!$L$26</c:f>
              <c:numCache/>
            </c:numRef>
          </c:val>
        </c:ser>
        <c:ser>
          <c:idx val="14"/>
          <c:order val="14"/>
          <c:val>
            <c:numRef>
              <c:f>parsec!$L$4</c:f>
              <c:numCache/>
            </c:numRef>
          </c:val>
        </c:ser>
        <c:ser>
          <c:idx val="15"/>
          <c:order val="15"/>
          <c:val>
            <c:numRef>
              <c:f>parsec!$M$26</c:f>
              <c:numCache/>
            </c:numRef>
          </c:val>
        </c:ser>
        <c:axId val="333422174"/>
        <c:axId val="757808569"/>
      </c:barChart>
      <c:catAx>
        <c:axId val="333422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808569"/>
      </c:catAx>
      <c:valAx>
        <c:axId val="757808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L2 Accesses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422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L2 Misses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No Security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parsec!$B$25</c:f>
              <c:numCache/>
            </c:numRef>
          </c:val>
        </c:ser>
        <c:ser>
          <c:idx val="1"/>
          <c:order val="1"/>
          <c:tx>
            <c:v>Integrity Tree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parsec!$C$25</c:f>
              <c:numCache/>
            </c:numRef>
          </c:val>
        </c:ser>
        <c:ser>
          <c:idx val="2"/>
          <c:order val="2"/>
          <c:tx>
            <c:v>MCX - Never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parsec!$C$4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parsec!$D$25</c:f>
              <c:numCache/>
            </c:numRef>
          </c:val>
        </c:ser>
        <c:ser>
          <c:idx val="4"/>
          <c:order val="4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parsec!$E$25</c:f>
              <c:numCache/>
            </c:numRef>
          </c:val>
        </c:ser>
        <c:ser>
          <c:idx val="5"/>
          <c:order val="5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parsec!$F$25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parsec!$F$4</c:f>
              <c:numCache/>
            </c:numRef>
          </c:val>
        </c:ser>
        <c:ser>
          <c:idx val="7"/>
          <c:order val="7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parsec!$G$25</c:f>
              <c:numCache/>
            </c:numRef>
          </c:val>
        </c:ser>
        <c:ser>
          <c:idx val="8"/>
          <c:order val="8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parsec!$H$25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parsec!$I$25</c:f>
              <c:numCache/>
            </c:numRef>
          </c:val>
        </c:ser>
        <c:ser>
          <c:idx val="10"/>
          <c:order val="1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parsec!$I$4</c:f>
              <c:numCache/>
            </c:numRef>
          </c:val>
        </c:ser>
        <c:ser>
          <c:idx val="11"/>
          <c:order val="11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parsec!$J$25</c:f>
              <c:numCache/>
            </c:numRef>
          </c:val>
        </c:ser>
        <c:ser>
          <c:idx val="12"/>
          <c:order val="12"/>
          <c:val>
            <c:numRef>
              <c:f>parsec!$K$25</c:f>
              <c:numCache/>
            </c:numRef>
          </c:val>
        </c:ser>
        <c:ser>
          <c:idx val="13"/>
          <c:order val="13"/>
          <c:val>
            <c:numRef>
              <c:f>parsec!$L$25</c:f>
              <c:numCache/>
            </c:numRef>
          </c:val>
        </c:ser>
        <c:ser>
          <c:idx val="14"/>
          <c:order val="14"/>
          <c:val>
            <c:numRef>
              <c:f>parsec!$L$4</c:f>
              <c:numCache/>
            </c:numRef>
          </c:val>
        </c:ser>
        <c:ser>
          <c:idx val="15"/>
          <c:order val="15"/>
          <c:val>
            <c:numRef>
              <c:f>parsec!$M$25</c:f>
              <c:numCache/>
            </c:numRef>
          </c:val>
        </c:ser>
        <c:axId val="917063099"/>
        <c:axId val="1103678781"/>
      </c:barChart>
      <c:catAx>
        <c:axId val="917063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678781"/>
      </c:catAx>
      <c:valAx>
        <c:axId val="11036787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L2 Misses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063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L2 Hits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No Security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parsec!$B$24</c:f>
              <c:numCache/>
            </c:numRef>
          </c:val>
        </c:ser>
        <c:ser>
          <c:idx val="1"/>
          <c:order val="1"/>
          <c:tx>
            <c:v>Integrity Tree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parsec!$C$24</c:f>
              <c:numCache/>
            </c:numRef>
          </c:val>
        </c:ser>
        <c:ser>
          <c:idx val="2"/>
          <c:order val="2"/>
          <c:tx>
            <c:v>MCX - Never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parsec!$C$4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parsec!$D$24</c:f>
              <c:numCache/>
            </c:numRef>
          </c:val>
        </c:ser>
        <c:ser>
          <c:idx val="4"/>
          <c:order val="4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parsec!$E$24</c:f>
              <c:numCache/>
            </c:numRef>
          </c:val>
        </c:ser>
        <c:ser>
          <c:idx val="5"/>
          <c:order val="5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parsec!$F$24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parsec!$F$4</c:f>
              <c:numCache/>
            </c:numRef>
          </c:val>
        </c:ser>
        <c:ser>
          <c:idx val="7"/>
          <c:order val="7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parsec!$G$24</c:f>
              <c:numCache/>
            </c:numRef>
          </c:val>
        </c:ser>
        <c:ser>
          <c:idx val="8"/>
          <c:order val="8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parsec!$H$24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parsec!$I$24</c:f>
              <c:numCache/>
            </c:numRef>
          </c:val>
        </c:ser>
        <c:ser>
          <c:idx val="10"/>
          <c:order val="1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parsec!$I$4</c:f>
              <c:numCache/>
            </c:numRef>
          </c:val>
        </c:ser>
        <c:ser>
          <c:idx val="11"/>
          <c:order val="11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parsec!$J$24</c:f>
              <c:numCache/>
            </c:numRef>
          </c:val>
        </c:ser>
        <c:ser>
          <c:idx val="12"/>
          <c:order val="12"/>
          <c:val>
            <c:numRef>
              <c:f>parsec!$K$24</c:f>
              <c:numCache/>
            </c:numRef>
          </c:val>
        </c:ser>
        <c:ser>
          <c:idx val="13"/>
          <c:order val="13"/>
          <c:val>
            <c:numRef>
              <c:f>parsec!$L$24</c:f>
              <c:numCache/>
            </c:numRef>
          </c:val>
        </c:ser>
        <c:ser>
          <c:idx val="14"/>
          <c:order val="14"/>
          <c:val>
            <c:numRef>
              <c:f>parsec!$L$4</c:f>
              <c:numCache/>
            </c:numRef>
          </c:val>
        </c:ser>
        <c:ser>
          <c:idx val="15"/>
          <c:order val="15"/>
          <c:val>
            <c:numRef>
              <c:f>parsec!$M$24</c:f>
              <c:numCache/>
            </c:numRef>
          </c:val>
        </c:ser>
        <c:axId val="1375290837"/>
        <c:axId val="1220474738"/>
      </c:barChart>
      <c:catAx>
        <c:axId val="1375290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474738"/>
      </c:catAx>
      <c:valAx>
        <c:axId val="1220474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L2 Overall Hits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2908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Metadata Accesses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No Security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parsec!$B$19</c:f>
              <c:numCache/>
            </c:numRef>
          </c:val>
        </c:ser>
        <c:ser>
          <c:idx val="1"/>
          <c:order val="1"/>
          <c:tx>
            <c:v>Integrity Tree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parsec!$C$19</c:f>
              <c:numCache/>
            </c:numRef>
          </c:val>
        </c:ser>
        <c:ser>
          <c:idx val="2"/>
          <c:order val="2"/>
          <c:tx>
            <c:v>MCX - Never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parsec!$C$4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parsec!$D$19</c:f>
              <c:numCache/>
            </c:numRef>
          </c:val>
        </c:ser>
        <c:ser>
          <c:idx val="4"/>
          <c:order val="4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parsec!$E$19</c:f>
              <c:numCache/>
            </c:numRef>
          </c:val>
        </c:ser>
        <c:ser>
          <c:idx val="5"/>
          <c:order val="5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parsec!$F$19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parsec!$F$4</c:f>
              <c:numCache/>
            </c:numRef>
          </c:val>
        </c:ser>
        <c:ser>
          <c:idx val="7"/>
          <c:order val="7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parsec!$G$19</c:f>
              <c:numCache/>
            </c:numRef>
          </c:val>
        </c:ser>
        <c:ser>
          <c:idx val="8"/>
          <c:order val="8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parsec!$H$19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parsec!$I$19</c:f>
              <c:numCache/>
            </c:numRef>
          </c:val>
        </c:ser>
        <c:ser>
          <c:idx val="10"/>
          <c:order val="1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parsec!$I$4</c:f>
              <c:numCache/>
            </c:numRef>
          </c:val>
        </c:ser>
        <c:ser>
          <c:idx val="11"/>
          <c:order val="11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parsec!$J$19</c:f>
              <c:numCache/>
            </c:numRef>
          </c:val>
        </c:ser>
        <c:ser>
          <c:idx val="12"/>
          <c:order val="12"/>
          <c:val>
            <c:numRef>
              <c:f>parsec!$K$19</c:f>
              <c:numCache/>
            </c:numRef>
          </c:val>
        </c:ser>
        <c:ser>
          <c:idx val="13"/>
          <c:order val="13"/>
          <c:val>
            <c:numRef>
              <c:f>parsec!$L$19</c:f>
              <c:numCache/>
            </c:numRef>
          </c:val>
        </c:ser>
        <c:ser>
          <c:idx val="14"/>
          <c:order val="14"/>
          <c:val>
            <c:numRef>
              <c:f>parsec!$L$4</c:f>
              <c:numCache/>
            </c:numRef>
          </c:val>
        </c:ser>
        <c:ser>
          <c:idx val="15"/>
          <c:order val="15"/>
          <c:val>
            <c:numRef>
              <c:f>parsec!$M$19</c:f>
              <c:numCache/>
            </c:numRef>
          </c:val>
        </c:ser>
        <c:axId val="1594671685"/>
        <c:axId val="1809640193"/>
      </c:barChart>
      <c:catAx>
        <c:axId val="1594671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640193"/>
      </c:catAx>
      <c:valAx>
        <c:axId val="1809640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Metadata Cache Accesses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671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Metadata Cache Misses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No Security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parsec!$B$18</c:f>
              <c:numCache/>
            </c:numRef>
          </c:val>
        </c:ser>
        <c:ser>
          <c:idx val="1"/>
          <c:order val="1"/>
          <c:tx>
            <c:v>Integrity Tree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parsec!$C$18</c:f>
              <c:numCache/>
            </c:numRef>
          </c:val>
        </c:ser>
        <c:ser>
          <c:idx val="2"/>
          <c:order val="2"/>
          <c:tx>
            <c:v>MCX - Never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parsec!$C$4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parsec!$D$18</c:f>
              <c:numCache/>
            </c:numRef>
          </c:val>
        </c:ser>
        <c:ser>
          <c:idx val="4"/>
          <c:order val="4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parsec!$E$18</c:f>
              <c:numCache/>
            </c:numRef>
          </c:val>
        </c:ser>
        <c:ser>
          <c:idx val="5"/>
          <c:order val="5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parsec!$F$18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parsec!$F$4</c:f>
              <c:numCache/>
            </c:numRef>
          </c:val>
        </c:ser>
        <c:ser>
          <c:idx val="7"/>
          <c:order val="7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parsec!$G$18</c:f>
              <c:numCache/>
            </c:numRef>
          </c:val>
        </c:ser>
        <c:ser>
          <c:idx val="8"/>
          <c:order val="8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parsec!$H$18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parsec!$I$18</c:f>
              <c:numCache/>
            </c:numRef>
          </c:val>
        </c:ser>
        <c:ser>
          <c:idx val="10"/>
          <c:order val="1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parsec!$I$4</c:f>
              <c:numCache/>
            </c:numRef>
          </c:val>
        </c:ser>
        <c:ser>
          <c:idx val="11"/>
          <c:order val="11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parsec!$J$18</c:f>
              <c:numCache/>
            </c:numRef>
          </c:val>
        </c:ser>
        <c:ser>
          <c:idx val="12"/>
          <c:order val="12"/>
          <c:val>
            <c:numRef>
              <c:f>parsec!$K$18</c:f>
              <c:numCache/>
            </c:numRef>
          </c:val>
        </c:ser>
        <c:ser>
          <c:idx val="13"/>
          <c:order val="13"/>
          <c:val>
            <c:numRef>
              <c:f>parsec!$L$18</c:f>
              <c:numCache/>
            </c:numRef>
          </c:val>
        </c:ser>
        <c:ser>
          <c:idx val="14"/>
          <c:order val="14"/>
          <c:val>
            <c:numRef>
              <c:f>parsec!$L$4</c:f>
              <c:numCache/>
            </c:numRef>
          </c:val>
        </c:ser>
        <c:ser>
          <c:idx val="15"/>
          <c:order val="15"/>
          <c:val>
            <c:numRef>
              <c:f>parsec!$M$18</c:f>
              <c:numCache/>
            </c:numRef>
          </c:val>
        </c:ser>
        <c:axId val="1341528673"/>
        <c:axId val="1915269285"/>
      </c:barChart>
      <c:catAx>
        <c:axId val="1341528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269285"/>
      </c:catAx>
      <c:valAx>
        <c:axId val="1915269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Metadata Cache Misses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528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Metadata Cache Hits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No Security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parsec!$B$17</c:f>
              <c:numCache/>
            </c:numRef>
          </c:val>
        </c:ser>
        <c:ser>
          <c:idx val="1"/>
          <c:order val="1"/>
          <c:tx>
            <c:v>Integrity Tree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parsec!$C$17</c:f>
              <c:numCache/>
            </c:numRef>
          </c:val>
        </c:ser>
        <c:ser>
          <c:idx val="2"/>
          <c:order val="2"/>
          <c:tx>
            <c:v>MCX - Never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parsec!$C$4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parsec!$D$17</c:f>
              <c:numCache/>
            </c:numRef>
          </c:val>
        </c:ser>
        <c:ser>
          <c:idx val="4"/>
          <c:order val="4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parsec!$E$17</c:f>
              <c:numCache/>
            </c:numRef>
          </c:val>
        </c:ser>
        <c:ser>
          <c:idx val="5"/>
          <c:order val="5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parsec!$F$17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parsec!$F$4</c:f>
              <c:numCache/>
            </c:numRef>
          </c:val>
        </c:ser>
        <c:ser>
          <c:idx val="7"/>
          <c:order val="7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parsec!$G$17</c:f>
              <c:numCache/>
            </c:numRef>
          </c:val>
        </c:ser>
        <c:ser>
          <c:idx val="8"/>
          <c:order val="8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parsec!$H$17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parsec!$I$17</c:f>
              <c:numCache/>
            </c:numRef>
          </c:val>
        </c:ser>
        <c:ser>
          <c:idx val="10"/>
          <c:order val="1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parsec!$I$4</c:f>
              <c:numCache/>
            </c:numRef>
          </c:val>
        </c:ser>
        <c:ser>
          <c:idx val="11"/>
          <c:order val="11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parsec!$J$17</c:f>
              <c:numCache/>
            </c:numRef>
          </c:val>
        </c:ser>
        <c:ser>
          <c:idx val="12"/>
          <c:order val="12"/>
          <c:val>
            <c:numRef>
              <c:f>parsec!$K$17</c:f>
              <c:numCache/>
            </c:numRef>
          </c:val>
        </c:ser>
        <c:ser>
          <c:idx val="13"/>
          <c:order val="13"/>
          <c:val>
            <c:numRef>
              <c:f>parsec!$L$17</c:f>
              <c:numCache/>
            </c:numRef>
          </c:val>
        </c:ser>
        <c:ser>
          <c:idx val="14"/>
          <c:order val="14"/>
          <c:val>
            <c:numRef>
              <c:f>parsec!$L$4</c:f>
              <c:numCache/>
            </c:numRef>
          </c:val>
        </c:ser>
        <c:ser>
          <c:idx val="15"/>
          <c:order val="15"/>
          <c:val>
            <c:numRef>
              <c:f>parsec!$M$17</c:f>
              <c:numCache/>
            </c:numRef>
          </c:val>
        </c:ser>
        <c:axId val="1862560381"/>
        <c:axId val="1151374878"/>
      </c:barChart>
      <c:catAx>
        <c:axId val="1862560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374878"/>
      </c:catAx>
      <c:valAx>
        <c:axId val="1151374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Metadata Cache Hits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560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NumCycles (Normalized)</a:t>
            </a:r>
          </a:p>
        </c:rich>
      </c:tx>
      <c:overlay val="0"/>
    </c:title>
    <c:plotArea>
      <c:layout>
        <c:manualLayout>
          <c:xMode val="edge"/>
          <c:yMode val="edge"/>
          <c:x val="0.12980555661519366"/>
          <c:y val="0.2185506109421771"/>
          <c:w val="0.5943611100514731"/>
          <c:h val="0.6344143486265559"/>
        </c:manualLayout>
      </c:layout>
      <c:barChart>
        <c:barDir val="col"/>
        <c:ser>
          <c:idx val="0"/>
          <c:order val="0"/>
          <c:tx>
            <c:v>No Security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parsec!$B$15</c:f>
              <c:numCache/>
            </c:numRef>
          </c:val>
        </c:ser>
        <c:ser>
          <c:idx val="1"/>
          <c:order val="1"/>
          <c:tx>
            <c:v>Integrity Tree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parsec!$C$15</c:f>
              <c:numCache/>
            </c:numRef>
          </c:val>
        </c:ser>
        <c:ser>
          <c:idx val="2"/>
          <c:order val="2"/>
          <c:tx>
            <c:v>MCX - Never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parsec!$C$4</c:f>
              <c:numCache/>
            </c:numRef>
          </c:val>
        </c:ser>
        <c:ser>
          <c:idx val="3"/>
          <c:order val="3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parsec!$D$15</c:f>
              <c:numCache/>
            </c:numRef>
          </c:val>
        </c:ser>
        <c:ser>
          <c:idx val="4"/>
          <c:order val="4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parsec!$E$15</c:f>
              <c:numCache/>
            </c:numRef>
          </c:val>
        </c:ser>
        <c:ser>
          <c:idx val="5"/>
          <c:order val="5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parsec!$F$15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parsec!$F$4</c:f>
              <c:numCache/>
            </c:numRef>
          </c:val>
        </c:ser>
        <c:ser>
          <c:idx val="7"/>
          <c:order val="7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parsec!$G$15</c:f>
              <c:numCache/>
            </c:numRef>
          </c:val>
        </c:ser>
        <c:ser>
          <c:idx val="8"/>
          <c:order val="8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parsec!$H$15</c:f>
              <c:numCache/>
            </c:numRef>
          </c:val>
        </c:ser>
        <c:ser>
          <c:idx val="9"/>
          <c:order val="9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parsec!$I$15</c:f>
              <c:numCache/>
            </c:numRef>
          </c:val>
        </c:ser>
        <c:ser>
          <c:idx val="10"/>
          <c:order val="1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parsec!$I$4</c:f>
              <c:numCache/>
            </c:numRef>
          </c:val>
        </c:ser>
        <c:ser>
          <c:idx val="11"/>
          <c:order val="11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parsec!$J$15</c:f>
              <c:numCache/>
            </c:numRef>
          </c:val>
        </c:ser>
        <c:ser>
          <c:idx val="12"/>
          <c:order val="12"/>
          <c:val>
            <c:numRef>
              <c:f>parsec!$K$15</c:f>
              <c:numCache/>
            </c:numRef>
          </c:val>
        </c:ser>
        <c:ser>
          <c:idx val="13"/>
          <c:order val="13"/>
          <c:val>
            <c:numRef>
              <c:f>parsec!$L$15</c:f>
              <c:numCache/>
            </c:numRef>
          </c:val>
        </c:ser>
        <c:ser>
          <c:idx val="14"/>
          <c:order val="14"/>
          <c:val>
            <c:numRef>
              <c:f>parsec!$L$4</c:f>
              <c:numCache/>
            </c:numRef>
          </c:val>
        </c:ser>
        <c:ser>
          <c:idx val="15"/>
          <c:order val="15"/>
          <c:val>
            <c:numRef>
              <c:f>parsec!$M$15</c:f>
              <c:numCache/>
            </c:numRef>
          </c:val>
        </c:ser>
        <c:axId val="141041477"/>
        <c:axId val="1268411957"/>
      </c:barChart>
      <c:catAx>
        <c:axId val="141041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Benchmark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411957"/>
      </c:catAx>
      <c:valAx>
        <c:axId val="1268411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NumCycles (Normalized)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414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47625</xdr:colOff>
      <xdr:row>31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47625</xdr:colOff>
      <xdr:row>50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523875</xdr:colOff>
      <xdr:row>31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523875</xdr:colOff>
      <xdr:row>50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21</xdr:col>
      <xdr:colOff>523875</xdr:colOff>
      <xdr:row>69</xdr:row>
      <xdr:rowOff>104775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27</xdr:col>
      <xdr:colOff>847725</xdr:colOff>
      <xdr:row>31</xdr:row>
      <xdr:rowOff>180975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27</xdr:col>
      <xdr:colOff>847725</xdr:colOff>
      <xdr:row>50</xdr:row>
      <xdr:rowOff>190500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27</xdr:col>
      <xdr:colOff>847725</xdr:colOff>
      <xdr:row>69</xdr:row>
      <xdr:rowOff>104775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47625</xdr:colOff>
      <xdr:row>69</xdr:row>
      <xdr:rowOff>104775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4" width="12.63"/>
    <col customWidth="1" min="5" max="6" width="11.63"/>
    <col customWidth="1" min="8" max="9" width="11.75"/>
    <col customWidth="1" min="11" max="12" width="11.75"/>
  </cols>
  <sheetData>
    <row r="1">
      <c r="A1" s="1" t="s">
        <v>0</v>
      </c>
      <c r="S1" s="1" t="s">
        <v>1</v>
      </c>
      <c r="T1" s="1">
        <v>1.0E12</v>
      </c>
      <c r="AK1" s="1" t="s">
        <v>2</v>
      </c>
    </row>
    <row r="2">
      <c r="A2" s="1"/>
      <c r="S2" s="1"/>
      <c r="T2" s="1"/>
      <c r="AK2" s="1" t="s">
        <v>3</v>
      </c>
    </row>
    <row r="3">
      <c r="A3" s="1" t="s">
        <v>4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 t="s">
        <v>5</v>
      </c>
      <c r="M3" s="1" t="s">
        <v>5</v>
      </c>
      <c r="S3" s="1"/>
      <c r="T3" s="1"/>
      <c r="AK3" s="1" t="s">
        <v>6</v>
      </c>
    </row>
    <row r="4">
      <c r="A4" s="1" t="s">
        <v>7</v>
      </c>
      <c r="B4" s="1" t="s">
        <v>8</v>
      </c>
      <c r="C4" s="1" t="s">
        <v>8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10</v>
      </c>
      <c r="I4" s="1" t="s">
        <v>10</v>
      </c>
      <c r="J4" s="1" t="s">
        <v>10</v>
      </c>
      <c r="K4" s="1" t="s">
        <v>11</v>
      </c>
      <c r="L4" s="1" t="s">
        <v>11</v>
      </c>
      <c r="M4" s="1" t="s">
        <v>11</v>
      </c>
      <c r="S4" s="1"/>
      <c r="T4" s="1"/>
      <c r="AK4" s="1" t="s">
        <v>12</v>
      </c>
    </row>
    <row r="5">
      <c r="A5" s="1" t="s">
        <v>13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S5" s="1"/>
      <c r="T5" s="1"/>
      <c r="AK5" s="1" t="s">
        <v>15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 t="s">
        <v>17</v>
      </c>
      <c r="F6" s="1" t="s">
        <v>20</v>
      </c>
      <c r="G6" s="1" t="s">
        <v>19</v>
      </c>
      <c r="H6" s="1" t="s">
        <v>17</v>
      </c>
      <c r="I6" s="1" t="s">
        <v>20</v>
      </c>
      <c r="J6" s="1" t="s">
        <v>19</v>
      </c>
      <c r="K6" s="1" t="s">
        <v>17</v>
      </c>
      <c r="L6" s="1" t="s">
        <v>20</v>
      </c>
      <c r="M6" s="1" t="s">
        <v>19</v>
      </c>
      <c r="S6" s="1"/>
      <c r="T6" s="1"/>
      <c r="AK6" s="1" t="s">
        <v>21</v>
      </c>
    </row>
    <row r="7">
      <c r="A7" s="1" t="s">
        <v>22</v>
      </c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S7" s="1"/>
      <c r="T7" s="1"/>
      <c r="AK7" s="1" t="s">
        <v>24</v>
      </c>
    </row>
    <row r="8">
      <c r="A8" s="1" t="s">
        <v>25</v>
      </c>
      <c r="B8" s="1" t="s">
        <v>26</v>
      </c>
      <c r="C8" s="1" t="s">
        <v>26</v>
      </c>
      <c r="D8" s="1" t="s">
        <v>27</v>
      </c>
      <c r="E8" s="1" t="s">
        <v>26</v>
      </c>
      <c r="F8" s="1" t="s">
        <v>26</v>
      </c>
      <c r="G8" s="1" t="s">
        <v>27</v>
      </c>
      <c r="H8" s="1" t="s">
        <v>26</v>
      </c>
      <c r="I8" s="1" t="s">
        <v>26</v>
      </c>
      <c r="J8" s="1" t="s">
        <v>27</v>
      </c>
      <c r="K8" s="1" t="s">
        <v>26</v>
      </c>
      <c r="L8" s="1" t="s">
        <v>26</v>
      </c>
      <c r="M8" s="1" t="s">
        <v>27</v>
      </c>
      <c r="S8" s="1"/>
      <c r="T8" s="1"/>
      <c r="AK8" s="1" t="s">
        <v>28</v>
      </c>
    </row>
    <row r="9">
      <c r="A9" s="1" t="s">
        <v>29</v>
      </c>
      <c r="B9" s="1" t="s">
        <v>30</v>
      </c>
      <c r="C9" s="1" t="s">
        <v>31</v>
      </c>
      <c r="D9" s="1" t="s">
        <v>31</v>
      </c>
      <c r="E9" s="1" t="s">
        <v>30</v>
      </c>
      <c r="F9" s="1" t="s">
        <v>31</v>
      </c>
      <c r="G9" s="1" t="s">
        <v>31</v>
      </c>
      <c r="H9" s="1" t="s">
        <v>30</v>
      </c>
      <c r="I9" s="1" t="s">
        <v>31</v>
      </c>
      <c r="J9" s="1" t="s">
        <v>31</v>
      </c>
      <c r="K9" s="1" t="s">
        <v>30</v>
      </c>
      <c r="L9" s="1" t="s">
        <v>31</v>
      </c>
      <c r="M9" s="1" t="s">
        <v>31</v>
      </c>
      <c r="S9" s="1"/>
      <c r="T9" s="1"/>
      <c r="AK9" s="1" t="s">
        <v>32</v>
      </c>
    </row>
    <row r="10">
      <c r="A10" s="1" t="s">
        <v>33</v>
      </c>
      <c r="B10" s="1" t="s">
        <v>30</v>
      </c>
      <c r="C10" s="1" t="s">
        <v>31</v>
      </c>
      <c r="D10" s="1" t="s">
        <v>31</v>
      </c>
      <c r="E10" s="1" t="s">
        <v>30</v>
      </c>
      <c r="F10" s="1" t="s">
        <v>31</v>
      </c>
      <c r="G10" s="1" t="s">
        <v>31</v>
      </c>
      <c r="H10" s="1" t="s">
        <v>30</v>
      </c>
      <c r="I10" s="1" t="s">
        <v>31</v>
      </c>
      <c r="J10" s="1" t="s">
        <v>31</v>
      </c>
      <c r="K10" s="1" t="s">
        <v>30</v>
      </c>
      <c r="L10" s="1" t="s">
        <v>31</v>
      </c>
      <c r="M10" s="1" t="s">
        <v>31</v>
      </c>
      <c r="S10" s="1"/>
      <c r="T10" s="1"/>
      <c r="AK10" s="1" t="s">
        <v>34</v>
      </c>
    </row>
    <row r="11">
      <c r="AK11" s="1" t="s">
        <v>35</v>
      </c>
    </row>
    <row r="12">
      <c r="A12" s="1" t="s">
        <v>36</v>
      </c>
      <c r="B12" s="1">
        <v>1.93462276E8</v>
      </c>
      <c r="C12" s="2">
        <f>195776831</f>
        <v>195776831</v>
      </c>
      <c r="D12" s="1">
        <v>1.95887195E8</v>
      </c>
      <c r="E12" s="1">
        <v>1.365254907E9</v>
      </c>
      <c r="F12" s="2">
        <v>1.445472396E9</v>
      </c>
      <c r="G12" s="1">
        <v>1.603187021E9</v>
      </c>
      <c r="H12" s="1">
        <v>3.624142893E9</v>
      </c>
      <c r="I12" s="1">
        <v>4.63611784E9</v>
      </c>
      <c r="J12" s="1">
        <v>2.326606652E9</v>
      </c>
      <c r="K12" s="1">
        <v>2.79666593E9</v>
      </c>
      <c r="L12" s="1">
        <f>6830848834</f>
        <v>6830848834</v>
      </c>
      <c r="M12" s="1">
        <v>6.944399983E9</v>
      </c>
      <c r="AK12" s="1" t="s">
        <v>37</v>
      </c>
    </row>
    <row r="13">
      <c r="A13" s="1" t="s">
        <v>38</v>
      </c>
      <c r="B13" s="1">
        <v>2.808933</v>
      </c>
      <c r="C13" s="1">
        <v>2.775466</v>
      </c>
      <c r="D13" s="1">
        <v>2.787352</v>
      </c>
      <c r="E13" s="1">
        <v>1.703674</v>
      </c>
      <c r="F13" s="2">
        <v>1.515272</v>
      </c>
      <c r="G13" s="1">
        <v>1.515941</v>
      </c>
      <c r="H13" s="1">
        <v>0.804505</v>
      </c>
      <c r="I13" s="1">
        <v>0.624911</v>
      </c>
      <c r="J13" s="1">
        <v>1.380053</v>
      </c>
      <c r="K13" s="1">
        <v>0.159653</v>
      </c>
      <c r="L13" s="1">
        <v>0.065802</v>
      </c>
      <c r="M13" s="1">
        <v>0.064671</v>
      </c>
      <c r="AK13" s="1" t="s">
        <v>39</v>
      </c>
    </row>
    <row r="14">
      <c r="A14" s="1" t="s">
        <v>40</v>
      </c>
      <c r="B14" s="1">
        <v>5.434226E8</v>
      </c>
      <c r="C14" s="1">
        <f>543427097</f>
        <v>543427097</v>
      </c>
      <c r="D14" s="1">
        <v>5.43161353E8</v>
      </c>
      <c r="E14" s="1">
        <v>2.325948968E9</v>
      </c>
      <c r="F14" s="2">
        <v>2.190283582E9</v>
      </c>
      <c r="G14" s="1">
        <v>2.430337363E9</v>
      </c>
      <c r="H14" s="1">
        <v>2.915641019E9</v>
      </c>
      <c r="I14" s="1">
        <v>3.131998541E9</v>
      </c>
      <c r="J14" s="1">
        <v>3.210839555E9</v>
      </c>
      <c r="K14" s="1">
        <v>4.46496945E8</v>
      </c>
      <c r="L14" s="2">
        <f>446988445</f>
        <v>446988445</v>
      </c>
      <c r="M14" s="1">
        <v>4.49102055E8</v>
      </c>
      <c r="AK14" s="1" t="s">
        <v>41</v>
      </c>
    </row>
    <row r="15">
      <c r="B15" s="2">
        <f>B12/MAX(B12:D12)</f>
        <v>0.9876208396</v>
      </c>
      <c r="C15" s="2">
        <f>C12/MAX(B12:D12)</f>
        <v>0.9994365941</v>
      </c>
      <c r="D15" s="2">
        <f>D12/MAX(B12:D12)</f>
        <v>1</v>
      </c>
      <c r="E15" s="2">
        <f>E12/MAX(E12:G12)</f>
        <v>0.8515880488</v>
      </c>
      <c r="F15" s="2">
        <f>F12/MAX(E12:G12)</f>
        <v>0.9016243127</v>
      </c>
      <c r="G15" s="2">
        <f>G12/MAX(E12:G12)</f>
        <v>1</v>
      </c>
      <c r="H15" s="2">
        <f>H12/MAX(H12:J12)</f>
        <v>0.7817193217</v>
      </c>
      <c r="I15" s="2">
        <f>I12/MAX(H12:J12)</f>
        <v>1</v>
      </c>
      <c r="J15" s="2">
        <f>J12/MAX(H12:J12)</f>
        <v>0.5018437262</v>
      </c>
      <c r="K15" s="2">
        <f>K12/MAX(K12:M12)</f>
        <v>0.4027224723</v>
      </c>
      <c r="L15" s="2">
        <f>L12/MAX(K12:M12)</f>
        <v>0.9836485299</v>
      </c>
      <c r="M15" s="2">
        <f>M12/MAX(K12:M12)</f>
        <v>1</v>
      </c>
      <c r="AK15" s="1" t="s">
        <v>42</v>
      </c>
    </row>
    <row r="16">
      <c r="A16" s="1" t="s">
        <v>43</v>
      </c>
      <c r="AK16" s="1" t="s">
        <v>44</v>
      </c>
    </row>
    <row r="17">
      <c r="A17" s="1" t="s">
        <v>45</v>
      </c>
      <c r="B17" s="1">
        <v>0.0</v>
      </c>
      <c r="C17" s="1">
        <v>9517378.0</v>
      </c>
      <c r="D17" s="1">
        <v>9454727.0</v>
      </c>
      <c r="E17" s="1">
        <v>0.0</v>
      </c>
      <c r="F17" s="1">
        <v>8.0758862E7</v>
      </c>
      <c r="G17" s="1">
        <v>7.3804313E7</v>
      </c>
      <c r="H17" s="1">
        <v>0.0</v>
      </c>
      <c r="I17" s="1">
        <v>1.43638573E8</v>
      </c>
      <c r="J17" s="1">
        <v>3.0946246E7</v>
      </c>
      <c r="K17" s="1">
        <v>0.0</v>
      </c>
      <c r="L17" s="1">
        <v>1.9780733E8</v>
      </c>
      <c r="M17" s="1">
        <v>1.95741667E8</v>
      </c>
      <c r="AK17" s="1" t="s">
        <v>46</v>
      </c>
    </row>
    <row r="18">
      <c r="A18" s="1" t="s">
        <v>47</v>
      </c>
      <c r="B18" s="1">
        <v>0.0</v>
      </c>
      <c r="C18" s="1">
        <v>717287.0</v>
      </c>
      <c r="D18" s="1">
        <v>780128.0</v>
      </c>
      <c r="E18" s="1">
        <v>0.0</v>
      </c>
      <c r="F18" s="1">
        <v>2.1605728E7</v>
      </c>
      <c r="G18" s="1">
        <v>2.0194149E7</v>
      </c>
      <c r="H18" s="1">
        <v>0.0</v>
      </c>
      <c r="I18" s="1">
        <v>3.8993422E7</v>
      </c>
      <c r="J18" s="1">
        <v>4341433.0</v>
      </c>
      <c r="K18" s="1">
        <v>0.0</v>
      </c>
      <c r="L18" s="1">
        <v>1.60809405E8</v>
      </c>
      <c r="M18" s="1">
        <v>1.57757784E8</v>
      </c>
      <c r="AK18" s="1" t="s">
        <v>48</v>
      </c>
    </row>
    <row r="19">
      <c r="A19" s="1" t="s">
        <v>49</v>
      </c>
      <c r="B19" s="1">
        <v>0.0</v>
      </c>
      <c r="C19" s="1">
        <v>1.0234665E7</v>
      </c>
      <c r="D19" s="1">
        <v>1.0234855E7</v>
      </c>
      <c r="E19" s="1">
        <v>0.0</v>
      </c>
      <c r="F19" s="1">
        <v>1.0236459E8</v>
      </c>
      <c r="G19" s="1">
        <v>9.3998462E7</v>
      </c>
      <c r="H19" s="1">
        <v>0.0</v>
      </c>
      <c r="I19" s="1">
        <v>1.82631995E8</v>
      </c>
      <c r="J19" s="1">
        <v>3.5287679E7</v>
      </c>
      <c r="K19" s="1">
        <v>0.0</v>
      </c>
      <c r="L19" s="1">
        <v>3.58616735E8</v>
      </c>
      <c r="M19" s="1">
        <v>3.53499451E8</v>
      </c>
      <c r="AK19" s="1" t="s">
        <v>50</v>
      </c>
    </row>
    <row r="20">
      <c r="A20" s="1" t="s">
        <v>51</v>
      </c>
      <c r="B20" s="1">
        <v>0.0</v>
      </c>
      <c r="C20" s="2">
        <f t="shared" ref="C20:D20" si="1">C18/C19</f>
        <v>0.07008407212</v>
      </c>
      <c r="D20" s="2">
        <f t="shared" si="1"/>
        <v>0.07622267243</v>
      </c>
      <c r="E20" s="1">
        <v>0.0</v>
      </c>
      <c r="F20" s="2">
        <f t="shared" ref="F20:G20" si="2">F18/F19</f>
        <v>0.2110664244</v>
      </c>
      <c r="G20" s="2">
        <f t="shared" si="2"/>
        <v>0.2148348874</v>
      </c>
      <c r="H20" s="1">
        <v>0.0</v>
      </c>
      <c r="I20" s="2">
        <f t="shared" ref="I20:J20" si="3">I18/I19</f>
        <v>0.2135081643</v>
      </c>
      <c r="J20" s="2">
        <f t="shared" si="3"/>
        <v>0.1230297124</v>
      </c>
      <c r="K20" s="1">
        <v>0.0</v>
      </c>
      <c r="L20" s="2">
        <f t="shared" ref="L20:M20" si="4">L18/L19</f>
        <v>0.4484157857</v>
      </c>
      <c r="M20" s="2">
        <f t="shared" si="4"/>
        <v>0.4462744809</v>
      </c>
      <c r="AK20" s="1" t="s">
        <v>52</v>
      </c>
    </row>
    <row r="21">
      <c r="A21" s="1" t="s">
        <v>53</v>
      </c>
      <c r="B21" s="1">
        <v>0.0</v>
      </c>
      <c r="C21" s="2">
        <f t="shared" ref="C21:D21" si="5">C17/C19</f>
        <v>0.9299159279</v>
      </c>
      <c r="D21" s="2">
        <f t="shared" si="5"/>
        <v>0.9237773276</v>
      </c>
      <c r="E21" s="1">
        <v>0.0</v>
      </c>
      <c r="F21" s="2">
        <f t="shared" ref="F21:G21" si="6">F17/F19</f>
        <v>0.7889335756</v>
      </c>
      <c r="G21" s="2">
        <f t="shared" si="6"/>
        <v>0.7851651126</v>
      </c>
      <c r="H21" s="1">
        <v>0.0</v>
      </c>
      <c r="I21" s="2">
        <f t="shared" ref="I21:J21" si="7">I17/I19</f>
        <v>0.7864918357</v>
      </c>
      <c r="J21" s="2">
        <f t="shared" si="7"/>
        <v>0.8769702876</v>
      </c>
      <c r="K21" s="1">
        <v>0.0</v>
      </c>
      <c r="L21" s="2">
        <f t="shared" ref="L21:M21" si="8">L17/L19</f>
        <v>0.5515842143</v>
      </c>
      <c r="M21" s="2">
        <f t="shared" si="8"/>
        <v>0.5537255191</v>
      </c>
      <c r="AK21" s="1"/>
    </row>
    <row r="22">
      <c r="A22" s="1"/>
      <c r="AK22" s="1" t="s">
        <v>54</v>
      </c>
    </row>
    <row r="23">
      <c r="A23" s="1" t="s">
        <v>55</v>
      </c>
      <c r="AK23" s="1" t="s">
        <v>56</v>
      </c>
    </row>
    <row r="24">
      <c r="A24" s="1" t="s">
        <v>57</v>
      </c>
      <c r="B24" s="1">
        <v>57936.0</v>
      </c>
      <c r="C24" s="1">
        <v>54975.0</v>
      </c>
      <c r="D24" s="1">
        <v>69405.0</v>
      </c>
      <c r="E24" s="1">
        <v>2924657.0</v>
      </c>
      <c r="F24" s="1">
        <v>3042964.0</v>
      </c>
      <c r="G24" s="1">
        <v>3119117.0</v>
      </c>
      <c r="H24" s="1">
        <v>5.7916218E7</v>
      </c>
      <c r="I24" s="1">
        <v>5.5901733E7</v>
      </c>
      <c r="J24" s="1">
        <v>6.3358616E7</v>
      </c>
      <c r="K24" s="1">
        <v>3789052.0</v>
      </c>
      <c r="L24" s="1">
        <v>3933281.0</v>
      </c>
      <c r="M24" s="1">
        <v>3921013.0</v>
      </c>
      <c r="AK24" s="1" t="s">
        <v>58</v>
      </c>
    </row>
    <row r="25">
      <c r="A25" s="1" t="s">
        <v>59</v>
      </c>
      <c r="B25" s="1">
        <v>2922481.0</v>
      </c>
      <c r="C25" s="1">
        <v>2928386.0</v>
      </c>
      <c r="D25" s="1">
        <v>2919092.0</v>
      </c>
      <c r="E25" s="1">
        <v>1.6253311E7</v>
      </c>
      <c r="F25" s="1">
        <v>1.6110597E7</v>
      </c>
      <c r="G25" s="1">
        <v>1.6020811E7</v>
      </c>
      <c r="H25" s="1">
        <v>7.077873E7</v>
      </c>
      <c r="I25" s="1">
        <v>7.3898253E7</v>
      </c>
      <c r="J25" s="1">
        <v>6.2816906E7</v>
      </c>
      <c r="K25" s="1">
        <v>4.2618021E7</v>
      </c>
      <c r="L25" s="1">
        <v>4.3416627E7</v>
      </c>
      <c r="M25" s="1">
        <v>4.3578803E7</v>
      </c>
    </row>
    <row r="26">
      <c r="A26" s="1" t="s">
        <v>60</v>
      </c>
      <c r="B26" s="1">
        <v>2980417.0</v>
      </c>
      <c r="C26" s="1">
        <v>2983361.0</v>
      </c>
      <c r="D26" s="1">
        <v>2988497.0</v>
      </c>
      <c r="E26" s="1">
        <v>1.9177968E7</v>
      </c>
      <c r="F26" s="1">
        <v>1.9153561E7</v>
      </c>
      <c r="G26" s="1">
        <v>1.9139928E7</v>
      </c>
      <c r="H26" s="1">
        <v>1.28694948E8</v>
      </c>
      <c r="I26" s="1">
        <v>1.29799986E8</v>
      </c>
      <c r="J26" s="1">
        <v>1.26175522E8</v>
      </c>
      <c r="K26" s="1">
        <v>4.6407073E7</v>
      </c>
      <c r="L26" s="1">
        <v>4.7349908E7</v>
      </c>
      <c r="M26" s="1">
        <v>4.7499816E7</v>
      </c>
    </row>
    <row r="27">
      <c r="A27" s="1" t="s">
        <v>61</v>
      </c>
      <c r="B27" s="1">
        <f t="shared" ref="B27:M27" si="9">B25/B26</f>
        <v>0.9805611094</v>
      </c>
      <c r="C27" s="1">
        <f t="shared" si="9"/>
        <v>0.9815727966</v>
      </c>
      <c r="D27" s="1">
        <f t="shared" si="9"/>
        <v>0.9767759513</v>
      </c>
      <c r="E27" s="1">
        <f t="shared" si="9"/>
        <v>0.8474991198</v>
      </c>
      <c r="F27" s="1">
        <f t="shared" si="9"/>
        <v>0.8411280284</v>
      </c>
      <c r="G27" s="1">
        <f t="shared" si="9"/>
        <v>0.8370361163</v>
      </c>
      <c r="H27" s="1">
        <f t="shared" si="9"/>
        <v>0.5499728707</v>
      </c>
      <c r="I27" s="1">
        <f t="shared" si="9"/>
        <v>0.5693240445</v>
      </c>
      <c r="J27" s="1">
        <f t="shared" si="9"/>
        <v>0.4978533475</v>
      </c>
      <c r="K27" s="1">
        <f t="shared" si="9"/>
        <v>0.9183518426</v>
      </c>
      <c r="L27" s="1">
        <f t="shared" si="9"/>
        <v>0.9169316021</v>
      </c>
      <c r="M27" s="1">
        <f t="shared" si="9"/>
        <v>0.9174520381</v>
      </c>
    </row>
    <row r="28">
      <c r="A28" s="1"/>
      <c r="B28" s="1"/>
      <c r="C28" s="1"/>
      <c r="D28" s="1"/>
    </row>
    <row r="35">
      <c r="M35" s="1" t="s">
        <v>11</v>
      </c>
      <c r="N35" s="1" t="s">
        <v>62</v>
      </c>
    </row>
    <row r="36">
      <c r="M36" s="1" t="s">
        <v>17</v>
      </c>
      <c r="N36" s="2">
        <f>2796665930+2791739614+2791290589+2786985401</f>
        <v>11166681534</v>
      </c>
    </row>
    <row r="37">
      <c r="M37" s="1" t="s">
        <v>63</v>
      </c>
      <c r="N37" s="2">
        <f>6944399983+6874735947+6926173304+6907267262</f>
        <v>27652576496</v>
      </c>
    </row>
    <row r="39">
      <c r="N39" s="1" t="s">
        <v>64</v>
      </c>
    </row>
    <row r="40">
      <c r="M40" s="1" t="s">
        <v>17</v>
      </c>
      <c r="N40" s="2">
        <f>446496945+445066884+445280865+444631646</f>
        <v>1781476340</v>
      </c>
    </row>
    <row r="41">
      <c r="M41" s="1" t="s">
        <v>63</v>
      </c>
      <c r="N41" s="2">
        <f>449102055+447714970+447643036+447494116</f>
        <v>1791954177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7.0"/>
    <col customWidth="1" min="10" max="10" width="15.88"/>
  </cols>
  <sheetData>
    <row r="1">
      <c r="A1" s="1" t="s">
        <v>7</v>
      </c>
      <c r="B1" s="1" t="s">
        <v>16</v>
      </c>
      <c r="C1" s="1" t="s">
        <v>13</v>
      </c>
      <c r="D1" s="1" t="s">
        <v>22</v>
      </c>
      <c r="E1" s="1" t="s">
        <v>25</v>
      </c>
      <c r="F1" s="1" t="s">
        <v>29</v>
      </c>
      <c r="G1" s="1" t="s">
        <v>33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  <row r="2">
      <c r="A2" s="1"/>
      <c r="B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8</v>
      </c>
      <c r="B3" s="1" t="s">
        <v>77</v>
      </c>
      <c r="C3" s="1" t="s">
        <v>26</v>
      </c>
      <c r="D3" s="1" t="s">
        <v>23</v>
      </c>
      <c r="E3" s="1" t="s">
        <v>26</v>
      </c>
      <c r="F3" s="1" t="s">
        <v>30</v>
      </c>
      <c r="G3" s="1" t="s">
        <v>30</v>
      </c>
      <c r="H3" s="1">
        <v>1.79923065E8</v>
      </c>
      <c r="I3" s="1">
        <v>2.7762</v>
      </c>
      <c r="J3" s="1">
        <v>4.99472369E8</v>
      </c>
      <c r="K3" s="1">
        <v>6.2477951E7</v>
      </c>
      <c r="L3" s="1">
        <v>6.2454684E7</v>
      </c>
      <c r="M3" s="1">
        <v>23267.0</v>
      </c>
      <c r="N3" s="1">
        <v>1.57908747E8</v>
      </c>
      <c r="O3" s="1">
        <v>1.57857077E8</v>
      </c>
      <c r="P3" s="1">
        <v>51670.0</v>
      </c>
      <c r="Q3" s="1">
        <v>707800.0</v>
      </c>
      <c r="R3" s="1">
        <v>21968.0</v>
      </c>
      <c r="S3" s="1">
        <v>685832.0</v>
      </c>
    </row>
    <row r="4">
      <c r="A4" s="1" t="s">
        <v>8</v>
      </c>
      <c r="B4" s="1" t="s">
        <v>20</v>
      </c>
      <c r="C4" s="1" t="s">
        <v>78</v>
      </c>
      <c r="D4" s="1" t="s">
        <v>23</v>
      </c>
      <c r="E4" s="1" t="s">
        <v>26</v>
      </c>
      <c r="F4" s="1" t="s">
        <v>31</v>
      </c>
      <c r="G4" s="1" t="s">
        <v>31</v>
      </c>
      <c r="H4" s="1">
        <v>1.80403279E8</v>
      </c>
      <c r="I4" s="1">
        <v>2.7337</v>
      </c>
      <c r="J4" s="1">
        <v>4.93198099E8</v>
      </c>
      <c r="K4" s="1">
        <v>6.1650653E7</v>
      </c>
      <c r="L4" s="1">
        <v>6.1626662E7</v>
      </c>
      <c r="M4" s="1">
        <v>23991.0</v>
      </c>
      <c r="N4" s="1">
        <v>1.55911499E8</v>
      </c>
      <c r="O4" s="1">
        <v>1.55862743E8</v>
      </c>
      <c r="P4" s="1">
        <v>48756.0</v>
      </c>
      <c r="Q4" s="1">
        <v>700099.0</v>
      </c>
      <c r="R4" s="1">
        <v>20853.0</v>
      </c>
      <c r="S4" s="1">
        <v>679246.0</v>
      </c>
    </row>
    <row r="5">
      <c r="A5" s="1" t="s">
        <v>8</v>
      </c>
      <c r="B5" s="1" t="s">
        <v>19</v>
      </c>
      <c r="C5" s="1" t="s">
        <v>78</v>
      </c>
      <c r="D5" s="1" t="s">
        <v>23</v>
      </c>
      <c r="E5" s="1" t="s">
        <v>27</v>
      </c>
      <c r="F5" s="1" t="s">
        <v>31</v>
      </c>
      <c r="G5" s="1" t="s">
        <v>31</v>
      </c>
    </row>
    <row r="6">
      <c r="A6" s="1"/>
      <c r="B6" s="1"/>
    </row>
    <row r="7">
      <c r="A7" s="1" t="s">
        <v>9</v>
      </c>
      <c r="B7" s="1" t="s">
        <v>77</v>
      </c>
      <c r="C7" s="1" t="s">
        <v>26</v>
      </c>
      <c r="D7" s="1" t="s">
        <v>23</v>
      </c>
      <c r="E7" s="1" t="s">
        <v>26</v>
      </c>
      <c r="F7" s="1" t="s">
        <v>30</v>
      </c>
      <c r="G7" s="1" t="s">
        <v>30</v>
      </c>
      <c r="H7" s="1">
        <v>3.08808979E8</v>
      </c>
      <c r="I7" s="1">
        <v>1.4726</v>
      </c>
      <c r="J7" s="1">
        <v>4.55204505E8</v>
      </c>
      <c r="K7" s="1">
        <v>7.1698798E7</v>
      </c>
      <c r="L7" s="1">
        <v>7.16784E7</v>
      </c>
      <c r="M7" s="1">
        <v>20398.0</v>
      </c>
      <c r="N7" s="1">
        <v>1.58586765E8</v>
      </c>
      <c r="O7" s="1">
        <v>1.56164585E8</v>
      </c>
      <c r="P7" s="1">
        <v>2422180.0</v>
      </c>
      <c r="Q7" s="1">
        <v>1330494.0</v>
      </c>
      <c r="R7" s="1">
        <v>167324.0</v>
      </c>
      <c r="S7" s="1">
        <v>1163170.0</v>
      </c>
    </row>
    <row r="8">
      <c r="A8" s="1" t="s">
        <v>9</v>
      </c>
      <c r="B8" s="1" t="s">
        <v>20</v>
      </c>
      <c r="C8" s="1" t="s">
        <v>78</v>
      </c>
      <c r="D8" s="1" t="s">
        <v>23</v>
      </c>
      <c r="E8" s="1" t="s">
        <v>26</v>
      </c>
      <c r="F8" s="1" t="s">
        <v>31</v>
      </c>
      <c r="G8" s="1" t="s">
        <v>31</v>
      </c>
      <c r="H8" s="1">
        <v>3.08808979E8</v>
      </c>
      <c r="I8" s="1">
        <v>1.4726</v>
      </c>
      <c r="J8" s="1">
        <v>4.55204505E8</v>
      </c>
      <c r="K8" s="1">
        <v>7.1698798E7</v>
      </c>
      <c r="L8" s="1">
        <v>7.16784E7</v>
      </c>
      <c r="M8" s="1">
        <v>20398.0</v>
      </c>
      <c r="N8" s="1">
        <v>1.58586765E8</v>
      </c>
      <c r="O8" s="1">
        <v>1.56164585E8</v>
      </c>
      <c r="P8" s="1">
        <v>2422180.0</v>
      </c>
      <c r="Q8" s="1">
        <v>1330494.0</v>
      </c>
      <c r="R8" s="1">
        <v>167324.0</v>
      </c>
      <c r="S8" s="1">
        <v>1163170.0</v>
      </c>
    </row>
    <row r="9">
      <c r="A9" s="1" t="s">
        <v>9</v>
      </c>
      <c r="B9" s="1" t="s">
        <v>19</v>
      </c>
      <c r="C9" s="1" t="s">
        <v>78</v>
      </c>
      <c r="D9" s="1" t="s">
        <v>23</v>
      </c>
      <c r="E9" s="1" t="s">
        <v>27</v>
      </c>
      <c r="F9" s="1" t="s">
        <v>31</v>
      </c>
      <c r="G9" s="1" t="s">
        <v>31</v>
      </c>
    </row>
    <row r="11">
      <c r="A11" s="1" t="s">
        <v>10</v>
      </c>
      <c r="B11" s="1" t="s">
        <v>77</v>
      </c>
      <c r="C11" s="1" t="s">
        <v>26</v>
      </c>
      <c r="D11" s="1" t="s">
        <v>23</v>
      </c>
      <c r="E11" s="1" t="s">
        <v>26</v>
      </c>
      <c r="F11" s="1" t="s">
        <v>30</v>
      </c>
      <c r="G11" s="1" t="s">
        <v>30</v>
      </c>
      <c r="H11" s="1">
        <v>6.56750317E8</v>
      </c>
      <c r="I11" s="1">
        <v>0.7455</v>
      </c>
      <c r="J11" s="1">
        <v>4.89731223E8</v>
      </c>
      <c r="K11" s="1">
        <v>4.1455485E7</v>
      </c>
      <c r="L11" s="1">
        <v>4.1088554E7</v>
      </c>
      <c r="M11" s="1">
        <v>366931.0</v>
      </c>
      <c r="N11" s="1">
        <v>1.14589244E8</v>
      </c>
      <c r="O11" s="1">
        <v>1.08362514E8</v>
      </c>
      <c r="P11" s="1">
        <v>6226730.0</v>
      </c>
      <c r="Q11" s="1">
        <v>5869790.0</v>
      </c>
      <c r="R11" s="1">
        <v>2637858.0</v>
      </c>
      <c r="S11" s="1">
        <v>3231932.0</v>
      </c>
    </row>
    <row r="12">
      <c r="A12" s="1" t="s">
        <v>10</v>
      </c>
      <c r="B12" s="1" t="s">
        <v>20</v>
      </c>
      <c r="C12" s="1" t="s">
        <v>78</v>
      </c>
      <c r="D12" s="1" t="s">
        <v>23</v>
      </c>
      <c r="E12" s="1" t="s">
        <v>26</v>
      </c>
      <c r="F12" s="1" t="s">
        <v>31</v>
      </c>
      <c r="G12" s="1" t="s">
        <v>31</v>
      </c>
      <c r="H12" s="1">
        <v>8.59304781E8</v>
      </c>
      <c r="I12" s="1">
        <v>0.5797</v>
      </c>
      <c r="J12" s="1">
        <v>4.98177669E8</v>
      </c>
      <c r="K12" s="1">
        <v>4.2099453E7</v>
      </c>
      <c r="L12" s="1">
        <v>4.1697026E7</v>
      </c>
      <c r="M12" s="1">
        <v>402427.0</v>
      </c>
      <c r="N12" s="1">
        <v>1.16221349E8</v>
      </c>
      <c r="O12" s="1">
        <v>1.09861503E8</v>
      </c>
      <c r="P12" s="1">
        <v>6359846.0</v>
      </c>
      <c r="Q12" s="1">
        <v>5986685.0</v>
      </c>
      <c r="R12" s="1">
        <v>2578708.0</v>
      </c>
      <c r="S12" s="1">
        <v>3407977.0</v>
      </c>
    </row>
    <row r="13">
      <c r="A13" s="1" t="s">
        <v>10</v>
      </c>
      <c r="B13" s="1" t="s">
        <v>19</v>
      </c>
      <c r="C13" s="1" t="s">
        <v>78</v>
      </c>
      <c r="D13" s="1" t="s">
        <v>23</v>
      </c>
      <c r="E13" s="1" t="s">
        <v>27</v>
      </c>
      <c r="F13" s="1" t="s">
        <v>31</v>
      </c>
      <c r="G13" s="1" t="s">
        <v>31</v>
      </c>
    </row>
    <row r="15">
      <c r="A15" s="1" t="s">
        <v>11</v>
      </c>
      <c r="B15" s="1" t="s">
        <v>77</v>
      </c>
      <c r="C15" s="1" t="s">
        <v>26</v>
      </c>
      <c r="D15" s="1" t="s">
        <v>23</v>
      </c>
      <c r="E15" s="1" t="s">
        <v>26</v>
      </c>
      <c r="F15" s="1" t="s">
        <v>30</v>
      </c>
      <c r="G15" s="1" t="s">
        <v>30</v>
      </c>
      <c r="H15" s="1">
        <v>3.122424334E9</v>
      </c>
      <c r="I15" s="1">
        <v>0.159</v>
      </c>
      <c r="J15" s="1">
        <v>4.96543453E8</v>
      </c>
      <c r="K15" s="1">
        <v>6.8858392E7</v>
      </c>
      <c r="L15" s="1">
        <v>6.8756912E7</v>
      </c>
      <c r="M15" s="1">
        <v>101480.0</v>
      </c>
      <c r="N15" s="1">
        <v>1.65760074E8</v>
      </c>
      <c r="O15" s="1">
        <v>1.54026051E8</v>
      </c>
      <c r="P15" s="1">
        <v>1.1734023E7</v>
      </c>
      <c r="Q15" s="1">
        <v>1.3048228E7</v>
      </c>
      <c r="R15" s="1">
        <v>1077589.0</v>
      </c>
      <c r="S15" s="1">
        <v>1.1970639E7</v>
      </c>
    </row>
    <row r="16">
      <c r="A16" s="1" t="s">
        <v>11</v>
      </c>
      <c r="B16" s="1" t="s">
        <v>20</v>
      </c>
      <c r="C16" s="1" t="s">
        <v>78</v>
      </c>
      <c r="D16" s="1" t="s">
        <v>23</v>
      </c>
      <c r="E16" s="1" t="s">
        <v>26</v>
      </c>
      <c r="F16" s="1" t="s">
        <v>31</v>
      </c>
      <c r="G16" s="1" t="s">
        <v>31</v>
      </c>
      <c r="H16" s="1">
        <v>7.542540192E9</v>
      </c>
      <c r="I16" s="1">
        <v>0.0659</v>
      </c>
      <c r="J16" s="1">
        <v>4.96978638E8</v>
      </c>
      <c r="K16" s="1">
        <v>6.9166193E7</v>
      </c>
      <c r="L16" s="1">
        <v>6.9044058E7</v>
      </c>
      <c r="M16" s="1">
        <v>122135.0</v>
      </c>
      <c r="N16" s="1">
        <v>1.66483872E8</v>
      </c>
      <c r="O16" s="1">
        <v>1.54512446E8</v>
      </c>
      <c r="P16" s="1">
        <v>1.1971426E7</v>
      </c>
      <c r="Q16" s="1">
        <v>1.3252199E7</v>
      </c>
      <c r="R16" s="1">
        <v>1113881.0</v>
      </c>
      <c r="S16" s="1">
        <v>1.2138318E7</v>
      </c>
    </row>
    <row r="17">
      <c r="A17" s="1" t="s">
        <v>11</v>
      </c>
      <c r="B17" s="1" t="s">
        <v>19</v>
      </c>
      <c r="C17" s="1" t="s">
        <v>78</v>
      </c>
      <c r="D17" s="1" t="s">
        <v>23</v>
      </c>
      <c r="E17" s="1" t="s">
        <v>27</v>
      </c>
      <c r="F17" s="1" t="s">
        <v>31</v>
      </c>
      <c r="G17" s="1" t="s">
        <v>31</v>
      </c>
    </row>
  </sheetData>
  <drawing r:id="rId1"/>
</worksheet>
</file>